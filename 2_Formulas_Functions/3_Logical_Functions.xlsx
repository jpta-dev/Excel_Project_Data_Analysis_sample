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2_Formulas_Functions\"/>
    </mc:Choice>
  </mc:AlternateContent>
  <xr:revisionPtr revIDLastSave="0" documentId="13_ncr:1_{DBD0AE26-8E0C-4B18-AF4B-6731E7E17C9F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 s="1"/>
  <c r="R6" i="10" a="1"/>
  <c r="R6" i="10" s="1"/>
  <c r="R7" i="10" a="1"/>
  <c r="R7" i="10" s="1"/>
  <c r="R8" i="10" a="1"/>
  <c r="R8" i="10" s="1"/>
  <c r="R9" i="10" a="1"/>
  <c r="R9" i="10" s="1"/>
  <c r="R10" i="10" a="1"/>
  <c r="R10" i="10" s="1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 s="1"/>
  <c r="R17" i="10" a="1"/>
  <c r="R17" i="10"/>
  <c r="R18" i="10" a="1"/>
  <c r="R18" i="10"/>
  <c r="R19" i="10" a="1"/>
  <c r="R19" i="10" s="1"/>
  <c r="R20" i="10" a="1"/>
  <c r="R20" i="10" s="1"/>
  <c r="R21" i="10" a="1"/>
  <c r="R21" i="10" s="1"/>
  <c r="R2" i="10" a="1"/>
  <c r="R2" i="10" s="1"/>
  <c r="Q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8" i="10"/>
  <c r="O18" i="10"/>
  <c r="O3" i="10"/>
  <c r="O4" i="10"/>
  <c r="O5" i="10"/>
  <c r="O6" i="10"/>
  <c r="O7" i="10"/>
  <c r="O9" i="10"/>
  <c r="O10" i="10"/>
  <c r="O11" i="10"/>
  <c r="O12" i="10"/>
  <c r="O13" i="10"/>
  <c r="O14" i="10"/>
  <c r="O15" i="10"/>
  <c r="O16" i="10"/>
  <c r="O17" i="10"/>
  <c r="O19" i="10"/>
  <c r="O20" i="10"/>
  <c r="O21" i="10"/>
  <c r="O2" i="10"/>
  <c r="N8" i="10"/>
  <c r="N2" i="10"/>
  <c r="N3" i="10"/>
  <c r="N4" i="10"/>
  <c r="N5" i="10"/>
  <c r="N6" i="10"/>
  <c r="N7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4" i="10"/>
  <c r="M3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M2" i="11"/>
  <c r="L6" i="10"/>
  <c r="K5" i="10"/>
  <c r="K2" i="10"/>
  <c r="M21" i="11"/>
  <c r="M3" i="11"/>
  <c r="L2" i="10"/>
  <c r="L3" i="10"/>
  <c r="L4" i="10"/>
  <c r="L5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1"/>
  <c r="K3" i="10"/>
  <c r="K4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1"/>
  <c r="K3" i="11"/>
  <c r="Q4" i="7"/>
  <c r="Q5" i="7"/>
  <c r="Q6" i="7"/>
  <c r="Q7" i="7"/>
  <c r="Q8" i="7"/>
  <c r="Q9" i="7"/>
  <c r="Q10" i="7"/>
  <c r="Q11" i="7"/>
  <c r="Q12" i="7"/>
  <c r="Q3" i="7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<sst xmlns="http://schemas.openxmlformats.org/spreadsheetml/2006/main" count="395" uniqueCount="144">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</sst>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defaultColWidth="9.19921875" defaultRowHeight="14.4"/>
  <cols>
    <col min="1" max="1" width="5.19921875" style="1" customWidth="1"/>
    <col min="2" max="2" width="22.69921875" style="1" bestFit="1" customWidth="1"/>
    <col min="3" max="3" width="18.296875" style="1" bestFit="1" customWidth="1"/>
    <col min="4" max="4" width="12.296875" style="1" customWidth="1"/>
    <col min="5" max="5" width="11.59765625" style="1" customWidth="1"/>
    <col min="6" max="6" width="10.59765625" style="1" hidden="1" customWidth="1"/>
    <col min="7" max="7" width="9.19921875" style="1" hidden="1" customWidth="1"/>
    <col min="8" max="9" width="11.19921875" style="1" hidden="1" customWidth="1"/>
    <col min="10" max="10" width="17.296875" style="1" hidden="1" customWidth="1"/>
    <col min="11" max="11" width="14.296875" style="1" hidden="1" customWidth="1"/>
    <col min="12" max="12" width="10.296875" style="1" customWidth="1"/>
    <col min="13" max="13" width="9.19921875" style="1" customWidth="1"/>
    <col min="14" max="14" width="10.3984375" style="1" hidden="1" customWidth="1"/>
    <col min="15" max="15" width="14.19921875" style="1" hidden="1" customWidth="1"/>
    <col min="16" max="16" width="9.69921875" style="1" customWidth="1"/>
    <col min="17" max="17" width="9.19921875" style="1"/>
    <col min="18" max="18" width="14.19921875" style="1" bestFit="1" customWidth="1"/>
    <col min="19" max="16384" width="9.1992187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 "Not Met")</f>
        <v>Goal Met</v>
      </c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 "Not Met")</f>
        <v>Not Met</v>
      </c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9921875" defaultRowHeight="14.4"/>
  <cols>
    <col min="1" max="1" width="5.19921875" style="1" customWidth="1"/>
    <col min="2" max="2" width="22.69921875" style="1" bestFit="1" customWidth="1"/>
    <col min="3" max="3" width="10.3984375" style="1" customWidth="1"/>
    <col min="4" max="4" width="12.296875" style="1" customWidth="1"/>
    <col min="5" max="5" width="11.59765625" style="1" customWidth="1"/>
    <col min="6" max="6" width="10.59765625" style="1" hidden="1" customWidth="1"/>
    <col min="7" max="7" width="9.19921875" style="1" hidden="1" customWidth="1"/>
    <col min="8" max="9" width="11.19921875" style="1" hidden="1" customWidth="1"/>
    <col min="10" max="10" width="17.296875" style="1" hidden="1" customWidth="1"/>
    <col min="11" max="11" width="14.296875" style="1" hidden="1" customWidth="1"/>
    <col min="12" max="12" width="10.296875" style="1" hidden="1" customWidth="1"/>
    <col min="13" max="13" width="9.19921875" style="1" hidden="1" customWidth="1"/>
    <col min="14" max="14" width="10.3984375" style="1" hidden="1" customWidth="1"/>
    <col min="15" max="15" width="14.19921875" style="1" hidden="1" customWidth="1"/>
    <col min="16" max="16" width="9.69921875" style="1" hidden="1" customWidth="1"/>
    <col min="17" max="17" width="9.69921875" style="1" customWidth="1"/>
    <col min="18" max="18" width="9.19921875" style="1"/>
    <col min="19" max="19" width="14.19921875" style="1" bestFit="1" customWidth="1"/>
    <col min="20" max="16384" width="9.1992187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zoomScale="130" zoomScaleNormal="130" workbookViewId="0">
      <selection activeCell="R4" sqref="R4"/>
    </sheetView>
  </sheetViews>
  <sheetFormatPr defaultRowHeight="13.8"/>
  <cols>
    <col min="1" max="1" width="16.796875" bestFit="1" customWidth="1"/>
    <col min="2" max="2" width="19.19921875" hidden="1" customWidth="1"/>
    <col min="3" max="3" width="21.796875" hidden="1" customWidth="1"/>
    <col min="4" max="4" width="11.19921875" hidden="1" customWidth="1"/>
    <col min="5" max="5" width="38.19921875" hidden="1" customWidth="1"/>
    <col min="6" max="6" width="14.59765625" hidden="1" customWidth="1"/>
    <col min="7" max="7" width="18.59765625" hidden="1" customWidth="1"/>
    <col min="8" max="8" width="13.796875" bestFit="1" customWidth="1"/>
    <col min="9" max="9" width="19" hidden="1" customWidth="1"/>
    <col min="10" max="10" width="68.19921875" hidden="1" customWidth="1"/>
    <col min="11" max="11" width="10.8984375" hidden="1" customWidth="1"/>
    <col min="12" max="12" width="14.296875" hidden="1" customWidth="1"/>
    <col min="13" max="13" width="11" hidden="1" customWidth="1"/>
    <col min="14" max="14" width="8.296875" hidden="1" customWidth="1"/>
    <col min="15" max="15" width="6.59765625" hidden="1" customWidth="1"/>
    <col min="16" max="16" width="11.296875" bestFit="1" customWidth="1"/>
    <col min="17" max="17" width="11.5" bestFit="1" customWidth="1"/>
    <col min="18" max="18" width="12.19921875" bestFit="1" customWidth="1"/>
  </cols>
  <sheetData>
    <row r="1" spans="1:18" ht="14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 $A2=$K$1, "Desired", "Not Desired")</f>
        <v>Not Desired</v>
      </c>
      <c r="L2" t="str">
        <f>IF( $A2=$L$1, "Desired", "Not Desired")</f>
        <v>Not Desired</v>
      </c>
      <c r="M2" t="str">
        <f>IF($A2=$K$1, "Role desired", 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$A2=$L$1),"Role desired", "Not desired")</f>
        <v>Not desired</v>
      </c>
      <c r="Q2" t="str">
        <f>IF(H2&gt;$Q$1, "Salary &gt; 85K", "Salary Low")</f>
        <v>Salary &gt; 85K</v>
      </c>
      <c r="R2" t="str" cm="1">
        <f t="array" ref="R2">_xlfn.IFS($H2="", "No data", $H2 &gt;= $Q$1, "Salary &gt; $85k", TRUE, "Salary low")</f>
        <v>Salary &gt; $85k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 $A3=$K$1, "Desired", "Not Desired")</f>
        <v>Desired</v>
      </c>
      <c r="L3" t="str">
        <f t="shared" ref="L3:L21" si="1">IF( $A3=$L$1, "Desired", "Not Desired")</f>
        <v>Not Desired</v>
      </c>
      <c r="M3" t="str">
        <f t="shared" ref="M3:M21" si="2">IF($A3=$K$1, "Role desired", IF($A3=$L$1, "Role desired", "Not Desired"))</f>
        <v>Role desired</v>
      </c>
      <c r="N3" t="b">
        <f t="shared" ref="N3:N21" si="3">AND($A3=$K$1, $A3=$L$1)</f>
        <v>0</v>
      </c>
      <c r="O3" t="b">
        <f>OR($A3=$K$1, $A3=$L$1)</f>
        <v>1</v>
      </c>
      <c r="P3" t="str">
        <f t="shared" ref="P3:P21" si="4">IF(OR($A3=$K$1, $A3=$L$1),"Role desired", "Not desired")</f>
        <v>Role desired</v>
      </c>
      <c r="Q3" t="str">
        <f t="shared" ref="Q3:Q21" si="5">IF(H3&gt;$Q$1, "Salary &gt; 85K", "Salary Low")</f>
        <v>Salary Low</v>
      </c>
      <c r="R3" t="str" cm="1">
        <f t="array" ref="R3">_xlfn.IFS($H3="", "No data", $H3 &gt;= $Q$1, "Salary &gt; $85k", TRUE, "Salary low")</f>
        <v>Salary low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Desired</v>
      </c>
      <c r="L4" t="str">
        <f t="shared" si="1"/>
        <v>Not Desired</v>
      </c>
      <c r="M4" t="str">
        <f>IF($A4=$K$1, "Role desired", IF($A4=$L$1, "Role desired", "Not Desired"))</f>
        <v>Role desired</v>
      </c>
      <c r="N4" t="b">
        <f t="shared" si="3"/>
        <v>0</v>
      </c>
      <c r="O4" t="b">
        <f t="shared" ref="O3:O21" si="6">OR($A4=$K$1, $A4=$L$1)</f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 "No data", $H4 &gt;= $Q$1, "Salary &gt; $85k", TRUE, "Salary low")</f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>IF( $A5=$K$1, "Desired", "Not Desired")</f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6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 "No data", $H5 &gt;= $Q$1, "Salary &gt; $85k", TRUE, "Salary low")</f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>IF( $A6=$L$1, "Desired", "Not Desired")</f>
        <v>Not Desired</v>
      </c>
      <c r="M6" t="str">
        <f t="shared" si="2"/>
        <v>Not Desired</v>
      </c>
      <c r="N6" t="b">
        <f t="shared" si="3"/>
        <v>0</v>
      </c>
      <c r="O6" t="b">
        <f t="shared" si="6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 "No data", $H6 &gt;= $Q$1, "Salary &gt; $85k", TRUE, "Salary low")</f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6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 "No data", $H7 &gt;= $Q$1, "Salary &gt; $85k", TRUE, "Salary low")</f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</v>
      </c>
      <c r="L8" t="str">
        <f t="shared" si="1"/>
        <v>Not Desired</v>
      </c>
      <c r="M8" t="str">
        <f t="shared" si="2"/>
        <v>Role desired</v>
      </c>
      <c r="N8" t="b">
        <f>AND($A8=$K$1, $A8=$L$1)</f>
        <v>0</v>
      </c>
      <c r="O8" t="b">
        <f>OR($A8=$K$1, $A8=$L$1)</f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 "No data", $H8 &gt;= $Q$1, "Salary &gt; $85k", TRUE, "Salary low")</f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6"/>
        <v>1</v>
      </c>
      <c r="P9" t="str">
        <f t="shared" si="4"/>
        <v>Role desired</v>
      </c>
      <c r="Q9" t="str">
        <f t="shared" si="5"/>
        <v>Salary &gt; 85K</v>
      </c>
      <c r="R9" t="str" cm="1">
        <f t="array" ref="R9">_xlfn.IFS($H9="", "No data", $H9 &gt;= $Q$1, "Salary &gt; $85k", TRUE, "Salary low")</f>
        <v>Salary &gt; $85k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6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 "No data", $H10 &gt;= $Q$1, "Salary &gt; $85k", TRUE, "Salary low")</f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6"/>
        <v>1</v>
      </c>
      <c r="P11" t="str">
        <f t="shared" si="4"/>
        <v>Role desired</v>
      </c>
      <c r="Q11" t="str">
        <f t="shared" si="5"/>
        <v>Salary &gt; 85K</v>
      </c>
      <c r="R11" t="str" cm="1">
        <f t="array" ref="R11">_xlfn.IFS($H11="", "No data", $H11 &gt;= $Q$1, "Salary &gt; $85k", TRUE, "Salary low")</f>
        <v>Salary &gt; $85k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6"/>
        <v>0</v>
      </c>
      <c r="P12" t="str">
        <f t="shared" si="4"/>
        <v>Not desired</v>
      </c>
      <c r="Q12" t="str">
        <f t="shared" si="5"/>
        <v>Salary &gt; 85K</v>
      </c>
      <c r="R12" t="str" cm="1">
        <f t="array" ref="R12">_xlfn.IFS($H12="", "No data", $H12 &gt;= $Q$1, "Salary &gt; $85k", TRUE, "Salary low")</f>
        <v>Salary &gt; $85k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6"/>
        <v>0</v>
      </c>
      <c r="P13" t="str">
        <f t="shared" si="4"/>
        <v>Not desired</v>
      </c>
      <c r="Q13" t="str">
        <f t="shared" si="5"/>
        <v>Salary &gt; 85K</v>
      </c>
      <c r="R13" t="str" cm="1">
        <f t="array" ref="R13">_xlfn.IFS($H13="", "No data", $H13 &gt;= $Q$1, "Salary &gt; $85k", TRUE, "Salary low")</f>
        <v>Salary &gt; $85k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6"/>
        <v>0</v>
      </c>
      <c r="P14" t="str">
        <f t="shared" si="4"/>
        <v>Not desired</v>
      </c>
      <c r="Q14" t="str">
        <f t="shared" si="5"/>
        <v>Salary &gt; 85K</v>
      </c>
      <c r="R14" t="str" cm="1">
        <f t="array" ref="R14">_xlfn.IFS($H14="", "No data", $H14 &gt;= $Q$1, "Salary &gt; $85k", TRUE, "Salary low")</f>
        <v>Salary &gt; $85k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6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 "No data", $H15 &gt;= $Q$1, "Salary &gt; $85k", TRUE, "Salary low")</f>
        <v>Salary low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6"/>
        <v>0</v>
      </c>
      <c r="P16" t="str">
        <f t="shared" si="4"/>
        <v>Not desired</v>
      </c>
      <c r="Q16" t="str">
        <f t="shared" si="5"/>
        <v>Salary &gt; 85K</v>
      </c>
      <c r="R16" t="str" cm="1">
        <f t="array" ref="R16">_xlfn.IFS($H16="", "No data", $H16 &gt;= $Q$1, "Salary &gt; $85k", TRUE, "Salary low")</f>
        <v>Salary &gt; $85k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6"/>
        <v>0</v>
      </c>
      <c r="P17" t="str">
        <f t="shared" si="4"/>
        <v>Not desired</v>
      </c>
      <c r="Q17" t="str">
        <f t="shared" si="5"/>
        <v>Salary &gt; 85K</v>
      </c>
      <c r="R17" t="str" cm="1">
        <f t="array" ref="R17">_xlfn.IFS($H17="", "No data", $H17 &gt;= $Q$1, "Salary &gt; $85k", TRUE, "Salary low")</f>
        <v>Salary &gt; $85k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Desired</v>
      </c>
      <c r="M18" t="str">
        <f t="shared" si="2"/>
        <v>Role desired</v>
      </c>
      <c r="N18" t="b">
        <f t="shared" si="3"/>
        <v>0</v>
      </c>
      <c r="O18" t="b">
        <f>OR($A18=$K$1, $A18=$L$1)</f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 "No data", $H18 &gt;= $Q$1, "Salary &gt; $85k",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6"/>
        <v>0</v>
      </c>
      <c r="P19" t="str">
        <f t="shared" si="4"/>
        <v>Not desired</v>
      </c>
      <c r="Q19" t="str">
        <f t="shared" si="5"/>
        <v>Salary &gt; 85K</v>
      </c>
      <c r="R19" t="str" cm="1">
        <f t="array" ref="R19">_xlfn.IFS($H19="", "No data", $H19 &gt;= $Q$1, "Salary &gt; $85k", TRUE, "Salary low")</f>
        <v>Salary &gt; $85k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6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 "No data", $H20 &gt;= $Q$1, "Salary &gt; $85k",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Desired</v>
      </c>
      <c r="M21" t="str">
        <f t="shared" si="2"/>
        <v>Role desired</v>
      </c>
      <c r="N21" t="b">
        <f t="shared" si="3"/>
        <v>0</v>
      </c>
      <c r="O21" t="b">
        <f t="shared" si="6"/>
        <v>1</v>
      </c>
      <c r="P21" t="str">
        <f t="shared" si="4"/>
        <v>Role desired</v>
      </c>
      <c r="Q21" t="str">
        <f t="shared" si="5"/>
        <v>Salary &gt; 85K</v>
      </c>
      <c r="R21" t="str" cm="1">
        <f t="array" ref="R21">_xlfn.IFS($H21="", "No data", $H21 &gt;= $Q$1, "Salary &gt; $85k", TRUE, "Salary low")</f>
        <v>Salary &gt; 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>
      <selection activeCell="M3" sqref="M3"/>
    </sheetView>
  </sheetViews>
  <sheetFormatPr defaultRowHeight="13.8"/>
  <cols>
    <col min="1" max="1" width="16.796875" bestFit="1" customWidth="1"/>
    <col min="2" max="2" width="17.3984375" hidden="1" customWidth="1"/>
    <col min="3" max="3" width="21.796875" hidden="1" customWidth="1"/>
    <col min="4" max="4" width="11.19921875" hidden="1" customWidth="1"/>
    <col min="5" max="5" width="38.19921875" hidden="1" customWidth="1"/>
    <col min="6" max="6" width="14.59765625" hidden="1" customWidth="1"/>
    <col min="7" max="7" width="18.59765625" hidden="1" customWidth="1"/>
    <col min="8" max="8" width="13.796875" bestFit="1" customWidth="1"/>
    <col min="9" max="9" width="19" hidden="1" customWidth="1"/>
    <col min="10" max="10" width="68.19921875" hidden="1" customWidth="1"/>
    <col min="11" max="11" width="15.796875" bestFit="1" customWidth="1"/>
    <col min="12" max="12" width="19.19921875" bestFit="1" customWidth="1"/>
    <col min="13" max="13" width="14.296875" bestFit="1" customWidth="1"/>
    <col min="14" max="14" width="11.296875" bestFit="1" customWidth="1"/>
    <col min="15" max="15" width="10.19921875" bestFit="1" customWidth="1"/>
    <col min="16" max="16" width="14.296875" bestFit="1" customWidth="1"/>
    <col min="17" max="17" width="10.69921875" bestFit="1" customWidth="1"/>
    <col min="18" max="18" width="12.3984375" bestFit="1" customWidth="1"/>
  </cols>
  <sheetData>
    <row r="1" spans="1:18 16384:16384" ht="14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>IF($A3=$K$1, "Role Desired", "NOT Desired")</f>
        <v>Role Desired</v>
      </c>
      <c r="L3" t="str">
        <f t="shared" ref="L3:L21" si="0">IF($A3=$L$1, "Role Desired", "NOT Desired")</f>
        <v>NOT Desired</v>
      </c>
      <c r="M3" t="str">
        <f>IF($A3=$K$1, "Role Desired",IF($A3=$L$1, "Role Desired", "NOT Desired"))</f>
        <v>Role Desired</v>
      </c>
      <c r="N3" t="b">
        <f t="shared" ref="N3:N21" si="1">AND($A3=$K$1, $A3=$L$1)</f>
        <v>0</v>
      </c>
      <c r="O3" t="b">
        <f t="shared" ref="O3:O21" si="2">OR($A3=$K$1, $A3=$L$1)</f>
        <v>1</v>
      </c>
      <c r="P3" t="str">
        <f t="shared" ref="P3:P21" si="3">IF(OR($A3=$K$1, $A3=$L$1), "Role Desired", "NOT Desired")</f>
        <v>Role Desired</v>
      </c>
      <c r="Q3" t="str">
        <f t="shared" ref="Q3:Q21" si="4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ref="K3:K21" si="5">IF($A4=$K$1, "Role Desired", "NOT Desired")</f>
        <v>Role Desired</v>
      </c>
      <c r="L4" t="str">
        <f t="shared" si="0"/>
        <v>NOT Desired</v>
      </c>
      <c r="M4" t="str">
        <f t="shared" ref="M3:M21" si="6">IF($A4=$K$1, "Role Desired",IF($A4=$L$1, "Role Desired", "NOT Desired"))</f>
        <v>Role Desired</v>
      </c>
      <c r="N4" t="b">
        <f t="shared" si="1"/>
        <v>0</v>
      </c>
      <c r="O4" t="b">
        <f t="shared" si="2"/>
        <v>1</v>
      </c>
      <c r="P4" t="str">
        <f t="shared" si="3"/>
        <v>Role Desired</v>
      </c>
      <c r="Q4" t="str">
        <f t="shared" si="4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5"/>
        <v>NOT Desired</v>
      </c>
      <c r="L5" t="str">
        <f t="shared" si="0"/>
        <v>NOT Desired</v>
      </c>
      <c r="M5" t="str">
        <f t="shared" si="6"/>
        <v>NOT Desired</v>
      </c>
      <c r="N5" t="b">
        <f t="shared" si="1"/>
        <v>0</v>
      </c>
      <c r="O5" t="b">
        <f t="shared" si="2"/>
        <v>0</v>
      </c>
      <c r="P5" t="str">
        <f t="shared" si="3"/>
        <v>NOT Desired</v>
      </c>
      <c r="Q5" t="str">
        <f t="shared" si="4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5"/>
        <v>NOT Desired</v>
      </c>
      <c r="L6" t="str">
        <f t="shared" si="0"/>
        <v>NOT Desired</v>
      </c>
      <c r="M6" t="str">
        <f t="shared" si="6"/>
        <v>NOT Desired</v>
      </c>
      <c r="N6" t="b">
        <f t="shared" si="1"/>
        <v>0</v>
      </c>
      <c r="O6" t="b">
        <f t="shared" si="2"/>
        <v>0</v>
      </c>
      <c r="P6" t="str">
        <f t="shared" si="3"/>
        <v>NOT Desired</v>
      </c>
      <c r="Q6" t="str">
        <f t="shared" si="4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5"/>
        <v>NOT Desired</v>
      </c>
      <c r="L7" t="str">
        <f t="shared" si="0"/>
        <v>NOT Desired</v>
      </c>
      <c r="M7" t="str">
        <f t="shared" si="6"/>
        <v>NOT Desired</v>
      </c>
      <c r="N7" t="b">
        <f t="shared" si="1"/>
        <v>0</v>
      </c>
      <c r="O7" t="b">
        <f t="shared" si="2"/>
        <v>0</v>
      </c>
      <c r="P7" t="str">
        <f t="shared" si="3"/>
        <v>NOT Desired</v>
      </c>
      <c r="Q7" t="str">
        <f t="shared" si="4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5"/>
        <v>Role Desired</v>
      </c>
      <c r="L8" t="str">
        <f t="shared" si="0"/>
        <v>NOT Desired</v>
      </c>
      <c r="M8" t="str">
        <f t="shared" si="6"/>
        <v>Role Desired</v>
      </c>
      <c r="N8" t="b">
        <f t="shared" si="1"/>
        <v>0</v>
      </c>
      <c r="O8" t="b">
        <f t="shared" si="2"/>
        <v>1</v>
      </c>
      <c r="P8" t="str">
        <f t="shared" si="3"/>
        <v>Role Desired</v>
      </c>
      <c r="Q8" t="str">
        <f t="shared" si="4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5"/>
        <v>Role Desired</v>
      </c>
      <c r="L9" t="str">
        <f t="shared" si="0"/>
        <v>NOT Desired</v>
      </c>
      <c r="M9" t="str">
        <f t="shared" si="6"/>
        <v>Role Desired</v>
      </c>
      <c r="N9" t="b">
        <f t="shared" si="1"/>
        <v>0</v>
      </c>
      <c r="O9" t="b">
        <f t="shared" si="2"/>
        <v>1</v>
      </c>
      <c r="P9" t="str">
        <f t="shared" si="3"/>
        <v>Role Desired</v>
      </c>
      <c r="Q9" t="str">
        <f t="shared" si="4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5"/>
        <v>Role Desired</v>
      </c>
      <c r="L10" t="str">
        <f t="shared" si="0"/>
        <v>NOT Desired</v>
      </c>
      <c r="M10" t="str">
        <f t="shared" si="6"/>
        <v>Role Desired</v>
      </c>
      <c r="N10" t="b">
        <f t="shared" si="1"/>
        <v>0</v>
      </c>
      <c r="O10" t="b">
        <f t="shared" si="2"/>
        <v>1</v>
      </c>
      <c r="P10" t="str">
        <f t="shared" si="3"/>
        <v>Role Desired</v>
      </c>
      <c r="Q10" t="str">
        <f t="shared" si="4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5"/>
        <v>Role Desired</v>
      </c>
      <c r="L11" t="str">
        <f t="shared" si="0"/>
        <v>NOT Desired</v>
      </c>
      <c r="M11" t="str">
        <f t="shared" si="6"/>
        <v>Role Desired</v>
      </c>
      <c r="N11" t="b">
        <f t="shared" si="1"/>
        <v>0</v>
      </c>
      <c r="O11" t="b">
        <f t="shared" si="2"/>
        <v>1</v>
      </c>
      <c r="P11" t="str">
        <f t="shared" si="3"/>
        <v>Role Desired</v>
      </c>
      <c r="Q11" t="str">
        <f t="shared" si="4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5"/>
        <v>NOT Desired</v>
      </c>
      <c r="L12" t="str">
        <f t="shared" si="0"/>
        <v>NOT Desired</v>
      </c>
      <c r="M12" t="str">
        <f t="shared" si="6"/>
        <v>NOT Desired</v>
      </c>
      <c r="N12" t="b">
        <f t="shared" si="1"/>
        <v>0</v>
      </c>
      <c r="O12" t="b">
        <f t="shared" si="2"/>
        <v>0</v>
      </c>
      <c r="P12" t="str">
        <f t="shared" si="3"/>
        <v>NOT Desired</v>
      </c>
      <c r="Q12" t="str">
        <f t="shared" si="4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5"/>
        <v>NOT Desired</v>
      </c>
      <c r="L13" t="str">
        <f t="shared" si="0"/>
        <v>NOT Desired</v>
      </c>
      <c r="M13" t="str">
        <f t="shared" si="6"/>
        <v>NOT Desired</v>
      </c>
      <c r="N13" t="b">
        <f t="shared" si="1"/>
        <v>0</v>
      </c>
      <c r="O13" t="b">
        <f t="shared" si="2"/>
        <v>0</v>
      </c>
      <c r="P13" t="str">
        <f t="shared" si="3"/>
        <v>NOT Desired</v>
      </c>
      <c r="Q13" t="str">
        <f t="shared" si="4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5"/>
        <v>NOT Desired</v>
      </c>
      <c r="L14" t="str">
        <f t="shared" si="0"/>
        <v>NOT Desired</v>
      </c>
      <c r="M14" t="str">
        <f t="shared" si="6"/>
        <v>NOT Desired</v>
      </c>
      <c r="N14" t="b">
        <f t="shared" si="1"/>
        <v>0</v>
      </c>
      <c r="O14" t="b">
        <f t="shared" si="2"/>
        <v>0</v>
      </c>
      <c r="P14" t="str">
        <f t="shared" si="3"/>
        <v>NOT Desired</v>
      </c>
      <c r="Q14" t="str">
        <f t="shared" si="4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5"/>
        <v>NOT Desired</v>
      </c>
      <c r="L15" t="str">
        <f t="shared" si="0"/>
        <v>NOT Desired</v>
      </c>
      <c r="M15" t="str">
        <f t="shared" si="6"/>
        <v>NOT Desired</v>
      </c>
      <c r="N15" t="b">
        <f t="shared" si="1"/>
        <v>0</v>
      </c>
      <c r="O15" t="b">
        <f t="shared" si="2"/>
        <v>0</v>
      </c>
      <c r="P15" t="str">
        <f t="shared" si="3"/>
        <v>NOT Desired</v>
      </c>
      <c r="Q15" t="str">
        <f t="shared" si="4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5"/>
        <v>NOT Desired</v>
      </c>
      <c r="L16" t="str">
        <f t="shared" si="0"/>
        <v>NOT Desired</v>
      </c>
      <c r="M16" t="str">
        <f t="shared" si="6"/>
        <v>NOT Desired</v>
      </c>
      <c r="N16" t="b">
        <f t="shared" si="1"/>
        <v>0</v>
      </c>
      <c r="O16" t="b">
        <f t="shared" si="2"/>
        <v>0</v>
      </c>
      <c r="P16" t="str">
        <f t="shared" si="3"/>
        <v>NOT Desired</v>
      </c>
      <c r="Q16" t="str">
        <f t="shared" si="4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5"/>
        <v>NOT Desired</v>
      </c>
      <c r="L17" t="str">
        <f t="shared" si="0"/>
        <v>NOT Desired</v>
      </c>
      <c r="M17" t="str">
        <f t="shared" si="6"/>
        <v>NOT Desired</v>
      </c>
      <c r="N17" t="b">
        <f t="shared" si="1"/>
        <v>0</v>
      </c>
      <c r="O17" t="b">
        <f t="shared" si="2"/>
        <v>0</v>
      </c>
      <c r="P17" t="str">
        <f t="shared" si="3"/>
        <v>NOT Desired</v>
      </c>
      <c r="Q17" t="str">
        <f t="shared" si="4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5"/>
        <v>NOT Desired</v>
      </c>
      <c r="L18" t="str">
        <f t="shared" si="0"/>
        <v>Role Desired</v>
      </c>
      <c r="M18" t="str">
        <f t="shared" si="6"/>
        <v>Role Desired</v>
      </c>
      <c r="N18" t="b">
        <f t="shared" si="1"/>
        <v>0</v>
      </c>
      <c r="O18" t="b">
        <f t="shared" si="2"/>
        <v>1</v>
      </c>
      <c r="P18" t="str">
        <f t="shared" si="3"/>
        <v>Role Desired</v>
      </c>
      <c r="Q18" t="str">
        <f t="shared" si="4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5"/>
        <v>NOT Desired</v>
      </c>
      <c r="L19" t="str">
        <f t="shared" si="0"/>
        <v>NOT Desired</v>
      </c>
      <c r="M19" t="str">
        <f t="shared" si="6"/>
        <v>NOT Desired</v>
      </c>
      <c r="N19" t="b">
        <f t="shared" si="1"/>
        <v>0</v>
      </c>
      <c r="O19" t="b">
        <f t="shared" si="2"/>
        <v>0</v>
      </c>
      <c r="P19" t="str">
        <f t="shared" si="3"/>
        <v>NOT Desired</v>
      </c>
      <c r="Q19" t="str">
        <f t="shared" si="4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5"/>
        <v>NOT Desired</v>
      </c>
      <c r="L20" t="str">
        <f t="shared" si="0"/>
        <v>NOT Desired</v>
      </c>
      <c r="M20" t="str">
        <f t="shared" si="6"/>
        <v>NOT Desired</v>
      </c>
      <c r="N20" t="b">
        <f t="shared" si="1"/>
        <v>0</v>
      </c>
      <c r="O20" t="b">
        <f t="shared" si="2"/>
        <v>0</v>
      </c>
      <c r="P20" t="str">
        <f t="shared" si="3"/>
        <v>NOT Desired</v>
      </c>
      <c r="Q20" t="str">
        <f t="shared" si="4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5"/>
        <v>NOT Desired</v>
      </c>
      <c r="L21" t="str">
        <f t="shared" si="0"/>
        <v>Role Desired</v>
      </c>
      <c r="M21" t="str">
        <f>IF($A21=$K$1, "Role Desired",IF($A21=$L$1, "Role Desired", "NOT Desired"))</f>
        <v>Role Desired</v>
      </c>
      <c r="N21" t="b">
        <f t="shared" si="1"/>
        <v>0</v>
      </c>
      <c r="O21" t="b">
        <f t="shared" si="2"/>
        <v>1</v>
      </c>
      <c r="P21" t="str">
        <f t="shared" si="3"/>
        <v>Role Desired</v>
      </c>
      <c r="Q21" t="str">
        <f t="shared" si="4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3.8"/>
  <cols>
    <col min="1" max="1" width="6.59765625" customWidth="1"/>
    <col min="2" max="2" width="13.3984375" customWidth="1"/>
    <col min="3" max="3" width="31.3984375" bestFit="1" customWidth="1"/>
    <col min="4" max="4" width="60.3984375" bestFit="1" customWidth="1"/>
    <col min="5" max="5" width="19.69921875" bestFit="1" customWidth="1"/>
    <col min="6" max="6" width="17.59765625" bestFit="1" customWidth="1"/>
  </cols>
  <sheetData>
    <row r="2" spans="2:6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zoomScale="115" zoomScaleNormal="115" workbookViewId="0">
      <selection activeCell="E2" sqref="D2:E2"/>
    </sheetView>
  </sheetViews>
  <sheetFormatPr defaultRowHeight="13.8"/>
  <cols>
    <col min="2" max="2" width="9.796875" bestFit="1" customWidth="1"/>
    <col min="3" max="3" width="10.59765625" customWidth="1"/>
  </cols>
  <sheetData>
    <row r="1" spans="2:5" ht="14.4" thickBot="1"/>
    <row r="2" spans="2: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4.4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johnpaularandia93@gmail.com</cp:lastModifiedBy>
  <dcterms:created xsi:type="dcterms:W3CDTF">2024-07-16T20:11:02Z</dcterms:created>
  <dcterms:modified xsi:type="dcterms:W3CDTF">2025-12-10T17:10:53Z</dcterms:modified>
</cp:coreProperties>
</file>