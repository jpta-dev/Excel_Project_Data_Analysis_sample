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2_Formulas_Functions\"/>
    </mc:Choice>
  </mc:AlternateContent>
  <xr:revisionPtr revIDLastSave="0" documentId="13_ncr:1_{EE3CC3A0-1023-462F-8403-26E613712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R3" i="15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2" i="8" a="1"/>
  <c r="L2" i="8" s="1"/>
  <c r="K2" i="8" a="1"/>
  <c r="K2" i="8" s="1"/>
  <c r="J2" i="8" a="1"/>
  <c r="J2" i="8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4" i="8" l="1"/>
  <c r="R13" i="8"/>
  <c r="R12" i="8"/>
  <c r="R11" i="8"/>
  <c r="R10" i="8"/>
  <c r="R21" i="8"/>
  <c r="R9" i="8"/>
  <c r="R20" i="8"/>
  <c r="R8" i="8"/>
  <c r="R19" i="8"/>
  <c r="R7" i="8"/>
  <c r="R18" i="8"/>
  <c r="R6" i="8"/>
  <c r="R17" i="8"/>
  <c r="R5" i="8"/>
  <c r="R16" i="8"/>
  <c r="R4" i="8"/>
  <c r="R15" i="8"/>
  <c r="R3" i="8"/>
  <c r="P2" i="14"/>
  <c r="R2" i="14" s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<sst xmlns="http://schemas.openxmlformats.org/spreadsheetml/2006/main" count="470" uniqueCount="96">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</sst>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Job Postings per</a:t>
            </a:r>
            <a:r>
              <a:rPr lang="en-PH" baseline="0"/>
              <a:t>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9-4D81-ABC3-8E1255258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9168"/>
        <c:axId val="1592423968"/>
      </c:barChart>
      <c:catAx>
        <c:axId val="876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23968"/>
        <c:crosses val="autoZero"/>
        <c:auto val="1"/>
        <c:lblAlgn val="ctr"/>
        <c:lblOffset val="100"/>
        <c:noMultiLvlLbl val="0"/>
      </c:catAx>
      <c:valAx>
        <c:axId val="15924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495300</xdr:colOff>
      <xdr:row>2</xdr:row>
      <xdr:rowOff>72390</xdr:rowOff>
    </xdr:from>
    <xdr:to>
      <xdr:col>39</xdr:col>
      <xdr:colOff>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05AC1-CD77-4D7D-8F20-BA754BEF3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S1" workbookViewId="0">
      <selection activeCell="AN22" sqref="AN22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5" width="8.88671875" customWidth="1"/>
    <col min="16" max="16" width="11.88671875" customWidth="1"/>
    <col min="17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 cm="1">
        <f t="array" ref="J2:J21">MONTH(D2:D21)</f>
        <v>2</v>
      </c>
      <c r="K2" cm="1">
        <f t="array" ref="K2:K21">DAY(D2:D21)</f>
        <v>14</v>
      </c>
      <c r="L2" cm="1">
        <f t="array" ref="L2:L21">YEAR(D2:D21)</f>
        <v>2023</v>
      </c>
      <c r="N2" s="9">
        <f>DATE(L2,J2,K2)</f>
        <v>44971</v>
      </c>
      <c r="P2" s="9">
        <f ca="1">TODAY()</f>
        <v>46008</v>
      </c>
      <c r="R2">
        <f ca="1">DATEDIF(N2,$P$2,"D")</f>
        <v>1037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COUNTIF($T$2:$T$21, 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v>5</v>
      </c>
      <c r="K3">
        <v>9</v>
      </c>
      <c r="L3">
        <v>2023</v>
      </c>
      <c r="N3" s="9">
        <f t="shared" ref="N3:N21" si="0">DATE(L3,J3,K3)</f>
        <v>45055</v>
      </c>
      <c r="R3">
        <f t="shared" ref="R3:R21" ca="1" si="1">DATEDIF(N3,$P$2,"D")</f>
        <v>953</v>
      </c>
      <c r="T3">
        <f t="shared" ref="T3:T21" si="2">HOUR(D3)</f>
        <v>9</v>
      </c>
      <c r="U3">
        <f t="shared" ref="U3:U21" si="3">MINUTE(D3)</f>
        <v>45</v>
      </c>
      <c r="V3">
        <f t="shared" ref="V3:V21" si="4">SECOND(D3)</f>
        <v>32</v>
      </c>
      <c r="X3" s="13">
        <f t="shared" ref="X3:X21" si="5">TIME(T3,U3,V3)</f>
        <v>0.40662037037037035</v>
      </c>
      <c r="Y3" t="str">
        <f t="shared" ref="Y3:Y21" si="6">TEXT(D3,"HH:MM AM/PM")</f>
        <v>09:45 am</v>
      </c>
      <c r="AA3">
        <v>2</v>
      </c>
      <c r="AB3">
        <f t="shared" ref="AB3:AB25" si="7">COUNTIF($T$2:$T$21, 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v>7</v>
      </c>
      <c r="K4">
        <v>21</v>
      </c>
      <c r="L4">
        <v>2023</v>
      </c>
      <c r="N4" s="9">
        <f t="shared" si="0"/>
        <v>45128</v>
      </c>
      <c r="R4">
        <f t="shared" ca="1" si="1"/>
        <v>880</v>
      </c>
      <c r="T4">
        <f t="shared" si="2"/>
        <v>17</v>
      </c>
      <c r="U4">
        <f t="shared" si="3"/>
        <v>30</v>
      </c>
      <c r="V4">
        <f t="shared" si="4"/>
        <v>47</v>
      </c>
      <c r="X4" s="13">
        <f t="shared" si="5"/>
        <v>0.72971064814814812</v>
      </c>
      <c r="Y4" t="str">
        <f t="shared" si="6"/>
        <v>05:30 pm</v>
      </c>
      <c r="AA4">
        <v>3</v>
      </c>
      <c r="AB4">
        <f t="shared" si="7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v>9</v>
      </c>
      <c r="K5">
        <v>4</v>
      </c>
      <c r="L5">
        <v>2023</v>
      </c>
      <c r="N5" s="9">
        <f t="shared" si="0"/>
        <v>45173</v>
      </c>
      <c r="R5">
        <f t="shared" ca="1" si="1"/>
        <v>835</v>
      </c>
      <c r="T5">
        <f t="shared" si="2"/>
        <v>7</v>
      </c>
      <c r="U5">
        <f t="shared" si="3"/>
        <v>15</v>
      </c>
      <c r="V5">
        <f t="shared" si="4"/>
        <v>9</v>
      </c>
      <c r="X5" s="13">
        <f t="shared" si="5"/>
        <v>0.3021875</v>
      </c>
      <c r="Y5" t="str">
        <f t="shared" si="6"/>
        <v>07:15 am</v>
      </c>
      <c r="AA5">
        <v>4</v>
      </c>
      <c r="AB5">
        <f t="shared" si="7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v>11</v>
      </c>
      <c r="K6">
        <v>18</v>
      </c>
      <c r="L6">
        <v>2023</v>
      </c>
      <c r="N6" s="9">
        <f t="shared" si="0"/>
        <v>45248</v>
      </c>
      <c r="R6">
        <f t="shared" ca="1" si="1"/>
        <v>760</v>
      </c>
      <c r="T6">
        <f t="shared" si="2"/>
        <v>17</v>
      </c>
      <c r="U6">
        <f t="shared" si="3"/>
        <v>0</v>
      </c>
      <c r="V6">
        <f t="shared" si="4"/>
        <v>21</v>
      </c>
      <c r="X6" s="13">
        <f t="shared" si="5"/>
        <v>0.70857638888888885</v>
      </c>
      <c r="Y6" t="str">
        <f t="shared" si="6"/>
        <v>05:00 pm</v>
      </c>
      <c r="AA6">
        <v>5</v>
      </c>
      <c r="AB6">
        <f t="shared" si="7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v>1</v>
      </c>
      <c r="K7">
        <v>11</v>
      </c>
      <c r="L7">
        <v>2024</v>
      </c>
      <c r="N7" s="9">
        <f t="shared" si="0"/>
        <v>45302</v>
      </c>
      <c r="R7">
        <f t="shared" ca="1" si="1"/>
        <v>706</v>
      </c>
      <c r="T7">
        <f t="shared" si="2"/>
        <v>12</v>
      </c>
      <c r="U7">
        <f t="shared" si="3"/>
        <v>45</v>
      </c>
      <c r="V7">
        <f t="shared" si="4"/>
        <v>58</v>
      </c>
      <c r="X7" s="13">
        <f t="shared" si="5"/>
        <v>0.53192129629629625</v>
      </c>
      <c r="Y7" t="str">
        <f t="shared" si="6"/>
        <v>12:45 pm</v>
      </c>
      <c r="AA7">
        <v>6</v>
      </c>
      <c r="AB7">
        <f t="shared" si="7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v>3</v>
      </c>
      <c r="K8">
        <v>3</v>
      </c>
      <c r="L8">
        <v>2024</v>
      </c>
      <c r="N8" s="9">
        <f t="shared" si="0"/>
        <v>45354</v>
      </c>
      <c r="R8">
        <f t="shared" ca="1" si="1"/>
        <v>654</v>
      </c>
      <c r="T8">
        <f t="shared" si="2"/>
        <v>16</v>
      </c>
      <c r="U8">
        <f t="shared" si="3"/>
        <v>30</v>
      </c>
      <c r="V8">
        <f t="shared" si="4"/>
        <v>33</v>
      </c>
      <c r="X8" s="13">
        <f t="shared" si="5"/>
        <v>0.68788194444444439</v>
      </c>
      <c r="Y8" t="str">
        <f t="shared" si="6"/>
        <v>04:30 pm</v>
      </c>
      <c r="AA8">
        <v>7</v>
      </c>
      <c r="AB8">
        <f t="shared" si="7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v>4</v>
      </c>
      <c r="K9">
        <v>26</v>
      </c>
      <c r="L9">
        <v>2024</v>
      </c>
      <c r="N9" s="9">
        <f t="shared" si="0"/>
        <v>45408</v>
      </c>
      <c r="R9">
        <f t="shared" ca="1" si="1"/>
        <v>600</v>
      </c>
      <c r="T9">
        <f t="shared" si="2"/>
        <v>8</v>
      </c>
      <c r="U9">
        <f t="shared" si="3"/>
        <v>10</v>
      </c>
      <c r="V9">
        <f t="shared" si="4"/>
        <v>46</v>
      </c>
      <c r="X9" s="13">
        <f t="shared" si="5"/>
        <v>0.34081018518518519</v>
      </c>
      <c r="Y9" t="str">
        <f t="shared" si="6"/>
        <v>08:10 am</v>
      </c>
      <c r="AA9">
        <v>8</v>
      </c>
      <c r="AB9">
        <f t="shared" si="7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v>6</v>
      </c>
      <c r="K10">
        <v>15</v>
      </c>
      <c r="L10">
        <v>2024</v>
      </c>
      <c r="N10" s="9">
        <f t="shared" si="0"/>
        <v>45458</v>
      </c>
      <c r="R10">
        <f t="shared" ca="1" si="1"/>
        <v>550</v>
      </c>
      <c r="T10">
        <f t="shared" si="2"/>
        <v>17</v>
      </c>
      <c r="U10">
        <f t="shared" si="3"/>
        <v>50</v>
      </c>
      <c r="V10">
        <f t="shared" si="4"/>
        <v>24</v>
      </c>
      <c r="X10" s="13">
        <f t="shared" si="5"/>
        <v>0.74333333333333329</v>
      </c>
      <c r="Y10" t="str">
        <f t="shared" si="6"/>
        <v>05:50 pm</v>
      </c>
      <c r="AA10">
        <v>9</v>
      </c>
      <c r="AB10">
        <f t="shared" si="7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v>7</v>
      </c>
      <c r="K11">
        <v>7</v>
      </c>
      <c r="L11">
        <v>2024</v>
      </c>
      <c r="N11" s="9">
        <f t="shared" si="0"/>
        <v>45480</v>
      </c>
      <c r="R11">
        <f t="shared" ca="1" si="1"/>
        <v>528</v>
      </c>
      <c r="T11">
        <f t="shared" si="2"/>
        <v>14</v>
      </c>
      <c r="U11">
        <f t="shared" si="3"/>
        <v>35</v>
      </c>
      <c r="V11">
        <f t="shared" si="4"/>
        <v>36</v>
      </c>
      <c r="X11" s="13">
        <f t="shared" si="5"/>
        <v>0.60805555555555557</v>
      </c>
      <c r="Y11" t="str">
        <f t="shared" si="6"/>
        <v>02:35 pm</v>
      </c>
      <c r="AA11">
        <v>10</v>
      </c>
      <c r="AB11">
        <f t="shared" si="7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v>6</v>
      </c>
      <c r="K12">
        <v>12</v>
      </c>
      <c r="L12">
        <v>2024</v>
      </c>
      <c r="N12" s="9">
        <f t="shared" si="0"/>
        <v>45455</v>
      </c>
      <c r="R12">
        <f t="shared" ca="1" si="1"/>
        <v>553</v>
      </c>
      <c r="T12">
        <f t="shared" si="2"/>
        <v>6</v>
      </c>
      <c r="U12">
        <f t="shared" si="3"/>
        <v>50</v>
      </c>
      <c r="V12">
        <f t="shared" si="4"/>
        <v>18</v>
      </c>
      <c r="X12" s="13">
        <f t="shared" si="5"/>
        <v>0.28493055555555558</v>
      </c>
      <c r="Y12" t="str">
        <f t="shared" si="6"/>
        <v>06:50 am</v>
      </c>
      <c r="AA12">
        <v>11</v>
      </c>
      <c r="AB12">
        <f t="shared" si="7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v>1</v>
      </c>
      <c r="K13">
        <v>25</v>
      </c>
      <c r="L13">
        <v>2023</v>
      </c>
      <c r="N13" s="9">
        <f t="shared" si="0"/>
        <v>44951</v>
      </c>
      <c r="R13">
        <f t="shared" ca="1" si="1"/>
        <v>1057</v>
      </c>
      <c r="T13">
        <f t="shared" si="2"/>
        <v>13</v>
      </c>
      <c r="U13">
        <f t="shared" si="3"/>
        <v>15</v>
      </c>
      <c r="V13">
        <f t="shared" si="4"/>
        <v>5</v>
      </c>
      <c r="X13" s="13">
        <f t="shared" si="5"/>
        <v>0.55214120370370368</v>
      </c>
      <c r="Y13" t="str">
        <f t="shared" si="6"/>
        <v>01:15 pm</v>
      </c>
      <c r="AA13">
        <v>12</v>
      </c>
      <c r="AB13">
        <f t="shared" si="7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v>3</v>
      </c>
      <c r="K14">
        <v>17</v>
      </c>
      <c r="L14">
        <v>2023</v>
      </c>
      <c r="N14" s="9">
        <f t="shared" si="0"/>
        <v>45002</v>
      </c>
      <c r="R14">
        <f t="shared" ca="1" si="1"/>
        <v>1006</v>
      </c>
      <c r="T14">
        <f t="shared" si="2"/>
        <v>11</v>
      </c>
      <c r="U14">
        <f t="shared" si="3"/>
        <v>45</v>
      </c>
      <c r="V14">
        <f t="shared" si="4"/>
        <v>39</v>
      </c>
      <c r="X14" s="13">
        <f t="shared" si="5"/>
        <v>0.49003472222222222</v>
      </c>
      <c r="Y14" t="str">
        <f t="shared" si="6"/>
        <v>11:45 am</v>
      </c>
      <c r="AA14">
        <v>13</v>
      </c>
      <c r="AB14">
        <f t="shared" si="7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v>6</v>
      </c>
      <c r="K15">
        <v>1</v>
      </c>
      <c r="L15">
        <v>2023</v>
      </c>
      <c r="N15" s="9">
        <f t="shared" si="0"/>
        <v>45078</v>
      </c>
      <c r="R15">
        <f t="shared" ca="1" si="1"/>
        <v>930</v>
      </c>
      <c r="T15">
        <f t="shared" si="2"/>
        <v>10</v>
      </c>
      <c r="U15">
        <f t="shared" si="3"/>
        <v>0</v>
      </c>
      <c r="V15">
        <f t="shared" si="4"/>
        <v>51</v>
      </c>
      <c r="X15" s="13">
        <f t="shared" si="5"/>
        <v>0.41725694444444444</v>
      </c>
      <c r="Y15" t="str">
        <f t="shared" si="6"/>
        <v>10:00 am</v>
      </c>
      <c r="AA15">
        <v>14</v>
      </c>
      <c r="AB15">
        <f t="shared" si="7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v>8</v>
      </c>
      <c r="K16">
        <v>30</v>
      </c>
      <c r="L16">
        <v>2023</v>
      </c>
      <c r="N16" s="9">
        <f t="shared" si="0"/>
        <v>45168</v>
      </c>
      <c r="R16">
        <f t="shared" ca="1" si="1"/>
        <v>840</v>
      </c>
      <c r="T16">
        <f t="shared" si="2"/>
        <v>17</v>
      </c>
      <c r="U16">
        <f t="shared" si="3"/>
        <v>30</v>
      </c>
      <c r="V16">
        <f t="shared" si="4"/>
        <v>14</v>
      </c>
      <c r="X16" s="13">
        <f t="shared" si="5"/>
        <v>0.72932870370370373</v>
      </c>
      <c r="Y16" t="str">
        <f t="shared" si="6"/>
        <v>05:30 pm</v>
      </c>
      <c r="AA16">
        <v>15</v>
      </c>
      <c r="AB16">
        <f t="shared" si="7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v>10</v>
      </c>
      <c r="K17">
        <v>19</v>
      </c>
      <c r="L17">
        <v>2023</v>
      </c>
      <c r="N17" s="9">
        <f t="shared" si="0"/>
        <v>45218</v>
      </c>
      <c r="R17">
        <f t="shared" ca="1" si="1"/>
        <v>790</v>
      </c>
      <c r="T17">
        <f t="shared" si="2"/>
        <v>7</v>
      </c>
      <c r="U17">
        <f t="shared" si="3"/>
        <v>40</v>
      </c>
      <c r="V17">
        <f t="shared" si="4"/>
        <v>29</v>
      </c>
      <c r="X17" s="13">
        <f t="shared" si="5"/>
        <v>0.3197800925925926</v>
      </c>
      <c r="Y17" t="str">
        <f t="shared" si="6"/>
        <v>07:40 am</v>
      </c>
      <c r="AA17">
        <v>16</v>
      </c>
      <c r="AB17">
        <f t="shared" si="7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v>2</v>
      </c>
      <c r="K18">
        <v>28</v>
      </c>
      <c r="L18">
        <v>2024</v>
      </c>
      <c r="N18" s="9">
        <f t="shared" si="0"/>
        <v>45350</v>
      </c>
      <c r="R18">
        <f t="shared" ca="1" si="1"/>
        <v>658</v>
      </c>
      <c r="T18">
        <f t="shared" si="2"/>
        <v>17</v>
      </c>
      <c r="U18">
        <f t="shared" si="3"/>
        <v>15</v>
      </c>
      <c r="V18">
        <f t="shared" si="4"/>
        <v>42</v>
      </c>
      <c r="X18" s="13">
        <f t="shared" si="5"/>
        <v>0.71923611111111108</v>
      </c>
      <c r="Y18" t="str">
        <f t="shared" si="6"/>
        <v>05:15 pm</v>
      </c>
      <c r="AA18">
        <v>17</v>
      </c>
      <c r="AB18">
        <f t="shared" si="7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v>5</v>
      </c>
      <c r="K19">
        <v>6</v>
      </c>
      <c r="L19">
        <v>2024</v>
      </c>
      <c r="N19" s="9">
        <f t="shared" si="0"/>
        <v>45418</v>
      </c>
      <c r="R19">
        <f t="shared" ca="1" si="1"/>
        <v>590</v>
      </c>
      <c r="T19">
        <f t="shared" si="2"/>
        <v>17</v>
      </c>
      <c r="U19">
        <f t="shared" si="3"/>
        <v>25</v>
      </c>
      <c r="V19">
        <f t="shared" si="4"/>
        <v>57</v>
      </c>
      <c r="X19" s="13">
        <f t="shared" si="5"/>
        <v>0.72635416666666663</v>
      </c>
      <c r="Y19" t="str">
        <f t="shared" si="6"/>
        <v>05:25 pm</v>
      </c>
      <c r="AA19">
        <v>18</v>
      </c>
      <c r="AB19">
        <f t="shared" si="7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v>7</v>
      </c>
      <c r="K20">
        <v>23</v>
      </c>
      <c r="L20">
        <v>2024</v>
      </c>
      <c r="N20" s="9">
        <f t="shared" si="0"/>
        <v>45496</v>
      </c>
      <c r="R20">
        <f t="shared" ca="1" si="1"/>
        <v>512</v>
      </c>
      <c r="T20">
        <f t="shared" si="2"/>
        <v>7</v>
      </c>
      <c r="U20">
        <f t="shared" si="3"/>
        <v>0</v>
      </c>
      <c r="V20">
        <f t="shared" si="4"/>
        <v>3</v>
      </c>
      <c r="X20" s="13">
        <f t="shared" si="5"/>
        <v>0.29170138888888891</v>
      </c>
      <c r="Y20" t="str">
        <f t="shared" si="6"/>
        <v>07:00 am</v>
      </c>
      <c r="AA20">
        <v>19</v>
      </c>
      <c r="AB20">
        <f t="shared" si="7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v>5</v>
      </c>
      <c r="K21">
        <v>10</v>
      </c>
      <c r="L21">
        <v>2024</v>
      </c>
      <c r="N21" s="9">
        <f t="shared" si="0"/>
        <v>45422</v>
      </c>
      <c r="R21">
        <f t="shared" ca="1" si="1"/>
        <v>586</v>
      </c>
      <c r="T21">
        <f t="shared" si="2"/>
        <v>17</v>
      </c>
      <c r="U21">
        <f t="shared" si="3"/>
        <v>45</v>
      </c>
      <c r="V21">
        <f t="shared" si="4"/>
        <v>26</v>
      </c>
      <c r="X21" s="13">
        <f t="shared" si="5"/>
        <v>0.73988425925925927</v>
      </c>
      <c r="Y21" t="str">
        <f t="shared" si="6"/>
        <v>05:45 pm</v>
      </c>
      <c r="AA21">
        <v>20</v>
      </c>
      <c r="AB21">
        <f t="shared" si="7"/>
        <v>0</v>
      </c>
    </row>
    <row r="22" spans="1:28" x14ac:dyDescent="0.3">
      <c r="AA22">
        <v>21</v>
      </c>
      <c r="AB22">
        <f t="shared" si="7"/>
        <v>0</v>
      </c>
    </row>
    <row r="23" spans="1:28" x14ac:dyDescent="0.3">
      <c r="AA23">
        <v>22</v>
      </c>
      <c r="AB23">
        <f t="shared" si="7"/>
        <v>0</v>
      </c>
    </row>
    <row r="24" spans="1:28" x14ac:dyDescent="0.3">
      <c r="AA24">
        <v>23</v>
      </c>
      <c r="AB24">
        <f t="shared" si="7"/>
        <v>0</v>
      </c>
    </row>
    <row r="25" spans="1:28" x14ac:dyDescent="0.3">
      <c r="AA25">
        <v>24</v>
      </c>
      <c r="AB25">
        <f t="shared" si="7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3" sqref="R3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46008</v>
      </c>
      <c r="R2">
        <f ca="1">DATEDIF(D2,$P$2,"D")</f>
        <v>1037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953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880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835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760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706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654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600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550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528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553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1057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1006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930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840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790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658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590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512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H1" workbookViewId="0">
      <selection activeCell="R4" sqref="R4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johnpaularandia93@gmail.com</cp:lastModifiedBy>
  <dcterms:created xsi:type="dcterms:W3CDTF">2015-06-05T18:17:20Z</dcterms:created>
  <dcterms:modified xsi:type="dcterms:W3CDTF">2025-12-17T16:11:13Z</dcterms:modified>
</cp:coreProperties>
</file>