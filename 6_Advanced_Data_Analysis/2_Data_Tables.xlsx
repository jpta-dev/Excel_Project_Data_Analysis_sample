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6_Advanced_Data_Analysis\"/>
    </mc:Choice>
  </mc:AlternateContent>
  <xr:revisionPtr revIDLastSave="0" documentId="13_ncr:1_{E9B37E8C-33E1-4DE0-96C7-7792A19BA2A2}" xr6:coauthVersionLast="47" xr6:coauthVersionMax="47" xr10:uidLastSave="{00000000-0000-0000-0000-000000000000}"/>
  <bookViews>
    <workbookView xWindow="-108" yWindow="-108" windowWidth="23256" windowHeight="12456" xr2:uid="{6C37AC85-509F-4D10-9DB1-F70D16D6FBAB}"/>
  </bookViews>
  <sheets>
    <sheet name="Data table - two input jp" sheetId="4" r:id="rId1"/>
    <sheet name="Data_Table_Two-Input" sheetId="2" r:id="rId2"/>
    <sheet name="Data table - one input jp" sheetId="3" r:id="rId3"/>
    <sheet name="Data_Table_One-Input" sheetId="1" r:id="rId4"/>
  </sheets>
  <definedNames>
    <definedName name="base" localSheetId="2">'Data table - one input jp'!$C$3</definedName>
    <definedName name="base" localSheetId="0">'Data table - two input jp'!$C$3</definedName>
    <definedName name="base" localSheetId="1">'Data_Table_Two-Input'!$C$3</definedName>
    <definedName name="base">'Data_Table_One-Input'!$C$3</definedName>
    <definedName name="bonus" localSheetId="2">'Data table - one input jp'!$C$4</definedName>
    <definedName name="bonus" localSheetId="0">'Data table - two input jp'!$C$4</definedName>
    <definedName name="bonus" localSheetId="1">'Data_Table_Two-Input'!$C$4</definedName>
    <definedName name="bonus">'Data_Table_One-Input'!$C$4</definedName>
    <definedName name="bonuys" localSheetId="2">'Data table - one input jp'!$C$4</definedName>
    <definedName name="bonuys" localSheetId="0">'Data table - two input jp'!$C$4</definedName>
    <definedName name="bonuys" localSheetId="1">'Data_Table_Two-Input'!$C$4</definedName>
    <definedName name="bonuys">'Data_Table_One-Input'!$C$4</definedName>
    <definedName name="raise" localSheetId="2">'Data table - one input jp'!$C$5</definedName>
    <definedName name="raise" localSheetId="0">'Data table - two input jp'!$C$5</definedName>
    <definedName name="raise" localSheetId="1">'Data_Table_Two-Input'!$C$5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4" i="3" s="1"/>
  <c r="K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<sst xmlns="http://schemas.openxmlformats.org/spreadsheetml/2006/main" count="50" uniqueCount="14">
  <si>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</si>
  <si>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</si>
  <si>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</si>
  <si>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</si>
  <si>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</si>
  <si>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</si>
  <si>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</si>
  <si>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</si>
  <si>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</si>
  <si>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</si>
  <si>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</si>
  <si>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</si>
  <si>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</si>
  <si>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Annual 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</si>
</sst>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1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9" fontId="10" fillId="0" borderId="4" xfId="2" applyNumberFormat="1" applyFont="1" applyBorder="1"/>
    <xf numFmtId="9" fontId="10" fillId="0" borderId="5" xfId="2" applyNumberFormat="1" applyFont="1" applyBorder="1"/>
    <xf numFmtId="9" fontId="10" fillId="0" borderId="6" xfId="2" applyNumberFormat="1" applyFont="1" applyBorder="1"/>
    <xf numFmtId="0" fontId="9" fillId="0" borderId="1" xfId="0" applyFont="1" applyBorder="1" applyAlignment="1">
      <alignment vertical="center" textRotation="90" wrapText="1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138B-2ADC-4FAA-8B96-422F60A612E6}">
  <dimension ref="B1:K14"/>
  <sheetViews>
    <sheetView tabSelected="1" zoomScaleNormal="100" workbookViewId="0">
      <selection activeCell="L7" sqref="L7"/>
    </sheetView>
  </sheetViews>
  <sheetFormatPr defaultRowHeight="13.8"/>
  <cols>
    <col min="2" max="2" width="11.5" customWidth="1"/>
    <col min="3" max="3" width="11.8984375" bestFit="1" customWidth="1"/>
    <col min="5" max="5" width="11" bestFit="1" customWidth="1"/>
    <col min="6" max="11" width="11" customWidth="1"/>
  </cols>
  <sheetData>
    <row r="1" spans="2:11" ht="14.4" thickBot="1"/>
    <row r="2" spans="2:11" ht="15" thickBot="1">
      <c r="B2" s="28" t="s">
        <v>9</v>
      </c>
      <c r="C2" s="29"/>
      <c r="E2" s="36" t="s">
        <v>1</v>
      </c>
      <c r="F2" s="36"/>
      <c r="G2" s="36"/>
      <c r="H2" s="36"/>
      <c r="I2" s="36"/>
      <c r="J2" s="36"/>
      <c r="K2" s="36"/>
    </row>
    <row r="3" spans="2:11" ht="14.4" thickBot="1">
      <c r="B3" s="6" t="s">
        <v>0</v>
      </c>
      <c r="C3" s="25">
        <v>100000</v>
      </c>
      <c r="D3" s="40" t="s">
        <v>2</v>
      </c>
      <c r="E3" s="11">
        <f>C14</f>
        <v>566749.36181874992</v>
      </c>
      <c r="F3" s="37">
        <v>0</v>
      </c>
      <c r="G3" s="38">
        <v>0.05</v>
      </c>
      <c r="H3" s="38">
        <v>0.1</v>
      </c>
      <c r="I3" s="38">
        <v>0.15</v>
      </c>
      <c r="J3" s="38">
        <v>0.2</v>
      </c>
      <c r="K3" s="39">
        <v>0.25</v>
      </c>
    </row>
    <row r="4" spans="2:11">
      <c r="B4" s="6" t="s">
        <v>1</v>
      </c>
      <c r="C4" s="26">
        <v>0.1</v>
      </c>
      <c r="D4" s="4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4.4" thickBot="1">
      <c r="B5" s="8" t="s">
        <v>2</v>
      </c>
      <c r="C5" s="27">
        <v>1.4999999999999999E-2</v>
      </c>
      <c r="D5" s="4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4.4" thickBot="1">
      <c r="D6" s="4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ht="14.4">
      <c r="B7" s="28" t="s">
        <v>10</v>
      </c>
      <c r="C7" s="29"/>
      <c r="D7" s="4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>
      <c r="B8" s="14" t="s">
        <v>11</v>
      </c>
      <c r="C8" s="15" t="s">
        <v>12</v>
      </c>
      <c r="D8" s="4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>
      <c r="B9" s="9">
        <v>0</v>
      </c>
      <c r="C9" s="7">
        <f>(base*(1+raise)^B9)*(1+bonus)</f>
        <v>110000.00000000001</v>
      </c>
      <c r="D9" s="4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>
      <c r="B10" s="9">
        <v>1</v>
      </c>
      <c r="C10" s="7">
        <f>(base*(1+raise)^B10)*(1+bonus)</f>
        <v>111650</v>
      </c>
      <c r="D10" s="4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>
      <c r="B11" s="9">
        <v>2</v>
      </c>
      <c r="C11" s="7">
        <f>(base*(1+raise)^B11)*(1+bonus)</f>
        <v>113324.74999999997</v>
      </c>
      <c r="D11" s="4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4.4" thickBot="1">
      <c r="B12" s="9">
        <v>3</v>
      </c>
      <c r="C12" s="7">
        <f>(base*(1+raise)^B12)*(1+bonus)</f>
        <v>115024.62124999997</v>
      </c>
      <c r="D12" s="4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>
      <c r="B13" s="9">
        <v>4</v>
      </c>
      <c r="C13" s="7">
        <f>(base*(1+raise)^B13)*(1+bonus)</f>
        <v>116749.99056874996</v>
      </c>
    </row>
    <row r="14" spans="2:11" ht="14.4" thickBot="1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E2:K2"/>
    <mergeCell ref="D3:D12"/>
  </mergeCells>
  <conditionalFormatting sqref="F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E21" sqref="E21"/>
    </sheetView>
  </sheetViews>
  <sheetFormatPr defaultRowHeight="13.8"/>
  <cols>
    <col min="2" max="2" width="11.5" customWidth="1"/>
    <col min="3" max="3" width="11.8984375" bestFit="1" customWidth="1"/>
    <col min="5" max="5" width="11" bestFit="1" customWidth="1"/>
    <col min="6" max="11" width="11" customWidth="1"/>
  </cols>
  <sheetData>
    <row r="1" spans="2:11" ht="14.4" thickBot="1"/>
    <row r="2" spans="2:11" ht="15" thickBot="1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4.4" thickBot="1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4.4" thickBot="1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4.4" thickBot="1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ht="14.4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4.4" thickBot="1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>
      <c r="B13" s="9">
        <v>4</v>
      </c>
      <c r="C13" s="7">
        <f>(base*(1+raise)^B13)*(1+bonus)</f>
        <v>116749.99056874996</v>
      </c>
    </row>
    <row r="14" spans="2:11" ht="14.4" thickBot="1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F24" sqref="F24"/>
    </sheetView>
  </sheetViews>
  <sheetFormatPr defaultRowHeight="13.8"/>
  <cols>
    <col min="2" max="2" width="11.5" customWidth="1"/>
    <col min="3" max="3" width="11.8984375" bestFit="1" customWidth="1"/>
    <col min="5" max="5" width="11" bestFit="1" customWidth="1"/>
    <col min="6" max="11" width="11" customWidth="1"/>
  </cols>
  <sheetData>
    <row r="1" spans="2:11" ht="14.4" thickBot="1"/>
    <row r="2" spans="2:11" ht="15" thickBot="1">
      <c r="B2" s="28" t="s">
        <v>9</v>
      </c>
      <c r="C2" s="29"/>
      <c r="E2" s="5" t="s">
        <v>13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35" t="s">
        <v>3</v>
      </c>
    </row>
    <row r="3" spans="2:11" ht="14.4" thickBot="1">
      <c r="B3" s="6" t="s">
        <v>0</v>
      </c>
      <c r="C3" s="25">
        <v>100000</v>
      </c>
      <c r="E3" s="11"/>
      <c r="F3" s="32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C14</f>
        <v>566749.36181874992</v>
      </c>
    </row>
    <row r="4" spans="2:11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4" thickBot="1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4" thickBot="1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ht="14.4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4" thickBot="1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>
      <c r="B13" s="9">
        <v>4</v>
      </c>
      <c r="C13" s="7">
        <f>(base*(1+raise)^B13)*(1+bonus)</f>
        <v>116749.99056874996</v>
      </c>
    </row>
    <row r="14" spans="2:11" ht="14.4" thickBot="1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rgb="FF63BE7B"/>
      </colorScale>
    </cfRule>
  </conditionalFormatting>
  <conditionalFormatting sqref="K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3.8"/>
  <cols>
    <col min="2" max="2" width="11.5" customWidth="1"/>
    <col min="3" max="3" width="11.8984375" bestFit="1" customWidth="1"/>
    <col min="5" max="5" width="11" bestFit="1" customWidth="1"/>
    <col min="6" max="11" width="11" customWidth="1"/>
  </cols>
  <sheetData>
    <row r="1" spans="2:11" ht="14.4" thickBot="1"/>
    <row r="2" spans="2:11" ht="15" thickBot="1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4.4" thickBot="1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4" thickBot="1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4" thickBot="1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ht="14.4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4" thickBot="1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>
      <c r="B13" s="9">
        <v>4</v>
      </c>
      <c r="C13" s="7">
        <f>(base*(1+raise)^B13)*(1+bonus)</f>
        <v>116749.99056874996</v>
      </c>
    </row>
    <row r="14" spans="2:11" ht="14.4" thickBot="1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Data table - two input jp</vt:lpstr>
      <vt:lpstr>Data_Table_Two-Input</vt:lpstr>
      <vt:lpstr>Data table - one input jp</vt:lpstr>
      <vt:lpstr>Data_Table_One-Input</vt:lpstr>
      <vt:lpstr>'Data table - one input jp'!base</vt:lpstr>
      <vt:lpstr>'Data table - two input jp'!base</vt:lpstr>
      <vt:lpstr>'Data_Table_Two-Input'!base</vt:lpstr>
      <vt:lpstr>base</vt:lpstr>
      <vt:lpstr>'Data table - one input jp'!bonus</vt:lpstr>
      <vt:lpstr>'Data table - two input jp'!bonus</vt:lpstr>
      <vt:lpstr>'Data_Table_Two-Input'!bonus</vt:lpstr>
      <vt:lpstr>bonus</vt:lpstr>
      <vt:lpstr>'Data table - one input jp'!bonuys</vt:lpstr>
      <vt:lpstr>'Data table - two input jp'!bonuys</vt:lpstr>
      <vt:lpstr>'Data_Table_Two-Input'!bonuys</vt:lpstr>
      <vt:lpstr>bonuys</vt:lpstr>
      <vt:lpstr>'Data table - one input jp'!raise</vt:lpstr>
      <vt:lpstr>'Data table - two input jp'!raise</vt:lpstr>
      <vt:lpstr>'Data_Table_Two-Input'!raise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johnpaularandia93@gmail.com</cp:lastModifiedBy>
  <dcterms:created xsi:type="dcterms:W3CDTF">2024-08-08T18:34:47Z</dcterms:created>
  <dcterms:modified xsi:type="dcterms:W3CDTF">2026-01-05T13:08:41Z</dcterms:modified>
</cp:coreProperties>
</file>